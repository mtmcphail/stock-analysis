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3" codeName="{AFA277B2-9F3A-2204-9086-A6A6A873D73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aggiemcphail/Desktop/Analysis Projects/Module 2 Green Stocks/"/>
    </mc:Choice>
  </mc:AlternateContent>
  <xr:revisionPtr revIDLastSave="0" documentId="13_ncr:1_{816B877F-4F91-1444-991E-4C04ACA1D0FA}" xr6:coauthVersionLast="45" xr6:coauthVersionMax="45" xr10:uidLastSave="{00000000-0000-0000-0000-000000000000}"/>
  <bookViews>
    <workbookView xWindow="7760" yWindow="460" windowWidth="29500" windowHeight="15440" activeTab="2" xr2:uid="{00000000-000D-0000-FFFF-FFFF00000000}"/>
  </bookViews>
  <sheets>
    <sheet name="2017" sheetId="1" r:id="rId1"/>
    <sheet name="2018" sheetId="2" r:id="rId2"/>
    <sheet name="All Stocks Analysis" sheetId="4" r:id="rId3"/>
    <sheet name="Stock Output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6" i="5" l="1"/>
  <c r="C16" i="5"/>
  <c r="J16" i="5"/>
  <c r="G30" i="5"/>
  <c r="C30" i="5"/>
  <c r="D30" i="5"/>
  <c r="F30" i="5"/>
  <c r="G32" i="5" s="1"/>
  <c r="L5" i="5"/>
  <c r="L6" i="5"/>
  <c r="L7" i="5"/>
  <c r="L8" i="5"/>
  <c r="L9" i="5"/>
  <c r="L10" i="5"/>
  <c r="L11" i="5"/>
  <c r="L12" i="5"/>
  <c r="L13" i="5"/>
  <c r="L14" i="5"/>
  <c r="L15" i="5"/>
  <c r="L4" i="5"/>
  <c r="J5" i="5"/>
  <c r="J6" i="5"/>
  <c r="J7" i="5"/>
  <c r="J8" i="5"/>
  <c r="J9" i="5"/>
  <c r="J10" i="5"/>
  <c r="J11" i="5"/>
  <c r="J12" i="5"/>
  <c r="J13" i="5"/>
  <c r="J14" i="5"/>
  <c r="J15" i="5"/>
  <c r="J4" i="5"/>
  <c r="D32" i="5" l="1"/>
  <c r="F35" i="5"/>
  <c r="C35" i="5"/>
</calcChain>
</file>

<file path=xl/sharedStrings.xml><?xml version="1.0" encoding="utf-8"?>
<sst xmlns="http://schemas.openxmlformats.org/spreadsheetml/2006/main" count="12154" uniqueCount="536">
  <si>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</si>
  <si>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</si>
  <si>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</si>
  <si>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</si>
  <si>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</si>
  <si>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</si>
  <si>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</si>
  <si>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</si>
  <si>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</si>
  <si>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</si>
  <si>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</si>
  <si>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</si>
  <si>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</si>
  <si>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</si>
  <si>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</si>
  <si>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</si>
  <si>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</si>
  <si>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</si>
  <si>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</si>
  <si>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</si>
  <si>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</si>
  <si>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</si>
  <si>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</si>
  <si>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</si>
  <si>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</si>
  <si>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</si>
  <si>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</si>
  <si>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</si>
  <si>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</si>
  <si>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</si>
  <si>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</si>
  <si>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</si>
  <si>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</si>
  <si>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</si>
  <si>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</si>
  <si>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</si>
  <si>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</si>
  <si>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</si>
  <si>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</si>
  <si>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</si>
  <si>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</si>
  <si>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</si>
  <si>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</si>
  <si>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</si>
  <si>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</si>
  <si>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</si>
  <si>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</si>
  <si>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</si>
  <si>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</si>
  <si>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</si>
  <si>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</si>
  <si>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</si>
  <si>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</si>
  <si>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</si>
  <si>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</si>
  <si>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</si>
  <si>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</si>
  <si>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</si>
  <si>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</si>
  <si>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</si>
  <si>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</si>
  <si>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</si>
  <si>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</si>
  <si>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</si>
  <si>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</si>
  <si>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</si>
  <si>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</si>
  <si>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</si>
  <si>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</si>
  <si>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</si>
  <si>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</si>
  <si>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</si>
  <si>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</si>
  <si>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</si>
  <si>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</si>
  <si>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</si>
  <si>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</si>
  <si>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</si>
  <si>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</si>
  <si>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</si>
  <si>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</si>
  <si>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</si>
  <si>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</si>
  <si>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</si>
  <si>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</si>
  <si>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</si>
  <si>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</si>
  <si>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</si>
  <si>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</si>
  <si>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</si>
  <si>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</si>
  <si>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</si>
  <si>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</si>
  <si>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</si>
  <si>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</si>
  <si>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</si>
  <si>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</si>
  <si>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</si>
  <si>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</si>
  <si>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</si>
  <si>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</si>
  <si>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</si>
  <si>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</si>
  <si>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</si>
  <si>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</si>
  <si>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</si>
  <si>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</si>
  <si>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</si>
  <si>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</si>
  <si>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</si>
  <si>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</si>
  <si>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</si>
  <si>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</si>
  <si>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</si>
  <si>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</si>
  <si>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</si>
  <si>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</si>
  <si>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</si>
  <si>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</si>
  <si>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</si>
  <si>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</si>
  <si>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</si>
  <si>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</si>
  <si>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</si>
  <si>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</si>
  <si>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</si>
  <si>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</si>
  <si>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</si>
  <si>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</si>
  <si>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</si>
  <si>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</si>
  <si>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</si>
  <si>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</si>
  <si>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</si>
  <si>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</si>
  <si>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</si>
  <si>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</si>
  <si>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</si>
  <si>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</si>
  <si>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</si>
  <si>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</si>
  <si>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</si>
  <si>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</si>
  <si>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</si>
  <si>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</si>
  <si>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</si>
  <si>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</si>
  <si>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</si>
  <si>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</si>
  <si>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</si>
  <si>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</si>
  <si>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</si>
  <si>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</si>
  <si>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</si>
  <si>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</si>
  <si>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</si>
  <si>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</si>
  <si>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</si>
  <si>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</si>
  <si>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</si>
  <si>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</si>
  <si>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</si>
  <si>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</si>
  <si>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</si>
  <si>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</si>
  <si>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</si>
  <si>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</si>
  <si>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</si>
  <si>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</si>
  <si>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</si>
  <si>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</si>
  <si>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</si>
  <si>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</si>
  <si>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</si>
  <si>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</si>
  <si>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</si>
  <si>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</si>
  <si>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</si>
  <si>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</si>
  <si>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</si>
  <si>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</si>
  <si>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</si>
  <si>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</si>
  <si>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</si>
  <si>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</si>
  <si>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</si>
  <si>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</si>
  <si>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</si>
  <si>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</si>
  <si>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</si>
  <si>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</si>
  <si>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</si>
  <si>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</si>
  <si>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</si>
  <si>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</si>
  <si>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</si>
  <si>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</si>
  <si>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</si>
  <si>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</si>
  <si>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</si>
  <si>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</si>
  <si>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</si>
  <si>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</si>
  <si>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</si>
  <si>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</si>
  <si>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</si>
  <si>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</si>
  <si>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</si>
  <si>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</si>
  <si>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</si>
  <si>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</si>
  <si>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</si>
  <si>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</si>
  <si>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</si>
  <si>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</si>
  <si>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</si>
  <si>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</si>
  <si>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</si>
  <si>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</si>
  <si>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</si>
  <si>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</si>
  <si>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</si>
  <si>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</si>
  <si>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</si>
  <si>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</si>
  <si>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</si>
  <si>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</si>
  <si>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</si>
  <si>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</si>
  <si>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</si>
  <si>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</si>
  <si>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</si>
  <si>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</si>
  <si>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</si>
  <si>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</si>
  <si>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</si>
  <si>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</si>
  <si>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</si>
  <si>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</si>
  <si>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</si>
  <si>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</si>
  <si>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</si>
  <si>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</si>
  <si>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</si>
  <si>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</si>
  <si>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</si>
  <si>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</si>
  <si>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</si>
  <si>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</si>
  <si>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</si>
  <si>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</si>
  <si>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</si>
  <si>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</si>
  <si>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</si>
  <si>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</si>
  <si>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</si>
  <si>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</si>
  <si>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</si>
  <si>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</si>
  <si>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</si>
  <si>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</si>
  <si>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</si>
  <si>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</si>
  <si>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</si>
  <si>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</si>
  <si>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</si>
  <si>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</si>
  <si>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</si>
  <si>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</si>
  <si>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</si>
  <si>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</si>
  <si>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</si>
  <si>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</si>
  <si>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</si>
  <si>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</si>
  <si>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</si>
  <si>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</si>
  <si>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</si>
  <si>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</si>
  <si>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</si>
  <si>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</si>
  <si>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</si>
  <si>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</si>
  <si>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</si>
  <si>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</si>
  <si>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</si>
  <si>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</si>
  <si>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</si>
  <si>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</si>
  <si>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</si>
  <si>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</si>
  <si>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</si>
  <si>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</si>
  <si>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</si>
  <si>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</si>
  <si>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</si>
  <si>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</si>
  <si>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</si>
  <si>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</si>
  <si>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</si>
  <si>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</si>
  <si>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</si>
  <si>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</si>
  <si>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</si>
  <si>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</si>
  <si>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</si>
  <si>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</si>
  <si>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</si>
  <si>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</si>
  <si>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</si>
  <si>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</si>
  <si>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</si>
  <si>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</si>
  <si>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</si>
  <si>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</si>
  <si>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</si>
  <si>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</si>
  <si>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</si>
  <si>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</si>
  <si>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</si>
  <si>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</si>
  <si>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</si>
  <si>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</si>
  <si>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</si>
  <si>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</si>
  <si>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</si>
  <si>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</si>
  <si>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</si>
  <si>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</si>
  <si>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</si>
  <si>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</si>
  <si>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</si>
  <si>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</si>
  <si>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</si>
  <si>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</si>
  <si>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</si>
  <si>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</si>
  <si>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</si>
  <si>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</si>
  <si>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</si>
  <si>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</si>
  <si>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</si>
  <si>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</si>
  <si>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</si>
  <si>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</si>
  <si>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</si>
  <si>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</si>
  <si>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</si>
  <si>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</si>
  <si>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</si>
  <si>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</si>
  <si>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</si>
  <si>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</si>
  <si>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</si>
  <si>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</si>
  <si>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</si>
  <si>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</si>
  <si>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</si>
  <si>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</si>
  <si>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</si>
  <si>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</si>
  <si>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</si>
  <si>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</si>
  <si>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</si>
  <si>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</si>
  <si>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</si>
  <si>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</si>
  <si>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</si>
  <si>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</si>
  <si>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</si>
  <si>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</si>
  <si>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</si>
  <si>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</si>
  <si>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</si>
  <si>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</si>
  <si>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</si>
  <si>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</si>
  <si>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</si>
  <si>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</si>
  <si>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</si>
  <si>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</si>
  <si>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</si>
  <si>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</si>
  <si>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</si>
  <si>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</si>
  <si>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</si>
  <si>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</si>
  <si>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</si>
  <si>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</si>
  <si>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</si>
  <si>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</si>
  <si>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</si>
  <si>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</si>
  <si>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</si>
  <si>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</si>
  <si>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</si>
  <si>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</si>
  <si>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</si>
  <si>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</si>
  <si>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</si>
  <si>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</si>
  <si>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</si>
  <si>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</si>
  <si>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</si>
  <si>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</si>
  <si>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</si>
  <si>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</si>
  <si>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</si>
  <si>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</si>
  <si>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</si>
  <si>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</si>
  <si>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</si>
  <si>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</si>
  <si>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</si>
  <si>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</si>
  <si>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</si>
  <si>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</si>
  <si>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</si>
  <si>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</si>
  <si>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</si>
  <si>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</si>
  <si>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</si>
  <si>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</si>
  <si>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</si>
  <si>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</si>
  <si>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</si>
  <si>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</si>
  <si>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</si>
  <si>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</si>
  <si>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</si>
  <si>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</si>
  <si>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</si>
  <si>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</si>
  <si>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</si>
  <si>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</si>
  <si>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</si>
  <si>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</si>
  <si>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</si>
  <si>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</si>
  <si>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</si>
  <si>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</si>
  <si>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</si>
  <si>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</si>
  <si>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</si>
  <si>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</si>
  <si>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</si>
  <si>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</si>
  <si>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</si>
  <si>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</si>
  <si>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</si>
  <si>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</si>
  <si>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</si>
  <si>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</si>
  <si>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</si>
  <si>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</si>
  <si>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</si>
  <si>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</si>
  <si>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</si>
  <si>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</si>
  <si>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</si>
  <si>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</si>
  <si>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</si>
  <si>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</si>
  <si>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</si>
  <si>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</si>
  <si>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</si>
  <si>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</si>
  <si>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</si>
  <si>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</si>
  <si>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</si>
  <si>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</si>
  <si>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</si>
  <si>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</si>
  <si>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</si>
  <si>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</si>
  <si>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</si>
  <si>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</si>
  <si>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</si>
  <si>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</si>
  <si>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</si>
  <si>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</si>
  <si>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</si>
  <si>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</si>
  <si>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</si>
  <si>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</si>
  <si>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</si>
  <si>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</si>
  <si>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</si>
  <si>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</si>
  <si>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</si>
  <si>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</si>
  <si>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</si>
  <si>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</si>
  <si>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</si>
  <si>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</si>
  <si>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</si>
  <si>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</si>
  <si>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</si>
  <si>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</si>
  <si>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</si>
  <si>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</si>
  <si>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</si>
  <si>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</si>
  <si>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</si>
  <si>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</si>
  <si>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</si>
  <si>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</si>
  <si>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</si>
  <si>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</si>
  <si>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</si>
  <si>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</si>
  <si>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</si>
  <si>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</si>
  <si>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</si>
  <si>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</si>
  <si>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</si>
  <si>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</si>
  <si>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</si>
  <si>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</si>
  <si>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</si>
  <si>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</si>
  <si>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</si>
  <si>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</si>
  <si>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</si>
  <si>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</si>
  <si>
    <t>All Stocks (2017)</t>
  </si>
  <si>
    <t>YOY Volume</t>
  </si>
  <si>
    <t>RUNTIME</t>
  </si>
  <si>
    <t>AVERAGE</t>
  </si>
  <si>
    <t>2017 (OG)</t>
  </si>
  <si>
    <t>2018 (OG)</t>
  </si>
  <si>
    <t>2017 (RF)</t>
  </si>
  <si>
    <t>2018 (RF)</t>
  </si>
  <si>
    <t>ORIGINAL 2017 VS REFACTOR 2017</t>
  </si>
  <si>
    <t>ORIGINAL 2018 VS REFACTOR 2018</t>
  </si>
  <si>
    <t>Change in Annual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</si>
</sst>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6" formatCode="&quot;$&quot;#,##0"/>
    <numFmt numFmtId="174" formatCode="0.000000"/>
    <numFmt numFmtId="175" formatCode="0.0000000"/>
    <numFmt numFmtId="176" formatCode="0.0%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FF0000"/>
      <name val="Arial Black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sz val="20"/>
      <color rgb="FF0000FF"/>
      <name val="Arial"/>
      <family val="2"/>
    </font>
    <font>
      <b/>
      <sz val="14"/>
      <color rgb="FF000000"/>
      <name val="Arial"/>
      <family val="2"/>
    </font>
    <font>
      <sz val="12"/>
      <color theme="1"/>
      <name val="Arial Black"/>
      <family val="2"/>
    </font>
    <font>
      <b/>
      <sz val="18"/>
      <color rgb="FF000000"/>
      <name val="Arial"/>
      <family val="2"/>
    </font>
    <font>
      <b/>
      <sz val="18"/>
      <color indexed="36"/>
      <name val="Arial"/>
      <family val="2"/>
    </font>
    <font>
      <sz val="12"/>
      <color rgb="FF7030A0"/>
      <name val="Arial Black"/>
      <family val="2"/>
    </font>
    <font>
      <b/>
      <sz val="18"/>
      <color indexed="18"/>
      <name val="Arial"/>
      <family val="2"/>
    </font>
    <font>
      <b/>
      <sz val="20"/>
      <color rgb="FFFF0000"/>
      <name val="Arial"/>
      <family val="2"/>
    </font>
    <font>
      <sz val="12"/>
      <color rgb="FF215491"/>
      <name val="Arial Black"/>
      <family val="2"/>
    </font>
    <font>
      <sz val="11"/>
      <color theme="1"/>
      <name val="Helvetica Neue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57">
    <xf numFmtId="0" fontId="0" fillId="0" borderId="0" xfId="0"/>
    <xf numFmtId="0" fontId="2" fillId="0" borderId="1" xfId="0" applyFont="1" applyBorder="1" applyAlignment="1">
      <alignment horizontal="center" vertical="top"/>
    </xf>
    <xf numFmtId="0" fontId="6" fillId="0" borderId="0" xfId="0" applyFont="1"/>
    <xf numFmtId="0" fontId="7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0" fontId="6" fillId="2" borderId="0" xfId="0" applyNumberFormat="1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6" fontId="0" fillId="0" borderId="0" xfId="0" applyNumberFormat="1"/>
    <xf numFmtId="10" fontId="0" fillId="0" borderId="0" xfId="0" applyNumberFormat="1"/>
    <xf numFmtId="0" fontId="10" fillId="4" borderId="0" xfId="0" applyFont="1" applyFill="1" applyAlignment="1">
      <alignment horizontal="left"/>
    </xf>
    <xf numFmtId="0" fontId="6" fillId="4" borderId="0" xfId="0" applyFont="1" applyFill="1"/>
    <xf numFmtId="0" fontId="13" fillId="4" borderId="0" xfId="0" applyFont="1" applyFill="1" applyAlignment="1">
      <alignment horizontal="left"/>
    </xf>
    <xf numFmtId="0" fontId="11" fillId="4" borderId="0" xfId="0" applyFont="1" applyFill="1" applyAlignment="1">
      <alignment horizontal="left"/>
    </xf>
    <xf numFmtId="0" fontId="0" fillId="4" borderId="0" xfId="0" applyFill="1"/>
    <xf numFmtId="0" fontId="8" fillId="4" borderId="2" xfId="0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16" fillId="0" borderId="0" xfId="0" applyFont="1"/>
    <xf numFmtId="0" fontId="2" fillId="0" borderId="0" xfId="0" applyFont="1"/>
    <xf numFmtId="0" fontId="0" fillId="0" borderId="0" xfId="0" applyFill="1" applyAlignment="1">
      <alignment horizontal="center"/>
    </xf>
    <xf numFmtId="174" fontId="0" fillId="0" borderId="0" xfId="0" applyNumberFormat="1" applyFill="1"/>
    <xf numFmtId="0" fontId="0" fillId="0" borderId="0" xfId="0" applyFill="1"/>
    <xf numFmtId="174" fontId="0" fillId="0" borderId="0" xfId="0" applyNumberFormat="1" applyFill="1" applyAlignment="1">
      <alignment horizontal="center"/>
    </xf>
    <xf numFmtId="0" fontId="16" fillId="0" borderId="0" xfId="0" applyFont="1" applyFill="1" applyAlignment="1">
      <alignment horizontal="center"/>
    </xf>
    <xf numFmtId="9" fontId="0" fillId="0" borderId="0" xfId="1" applyFont="1" applyFill="1"/>
    <xf numFmtId="9" fontId="5" fillId="0" borderId="0" xfId="1" applyFont="1" applyFill="1" applyBorder="1"/>
    <xf numFmtId="0" fontId="5" fillId="0" borderId="0" xfId="0" applyFont="1" applyBorder="1"/>
    <xf numFmtId="0" fontId="5" fillId="0" borderId="0" xfId="0" applyFont="1" applyFill="1" applyBorder="1" applyAlignment="1">
      <alignment horizontal="right"/>
    </xf>
    <xf numFmtId="0" fontId="5" fillId="0" borderId="0" xfId="0" applyFont="1" applyFill="1" applyBorder="1"/>
    <xf numFmtId="176" fontId="5" fillId="0" borderId="3" xfId="1" applyNumberFormat="1" applyFont="1" applyFill="1" applyBorder="1" applyAlignment="1">
      <alignment horizontal="center"/>
    </xf>
    <xf numFmtId="176" fontId="5" fillId="0" borderId="4" xfId="1" applyNumberFormat="1" applyFont="1" applyFill="1" applyBorder="1" applyAlignment="1">
      <alignment horizontal="center"/>
    </xf>
    <xf numFmtId="0" fontId="2" fillId="4" borderId="0" xfId="0" applyFont="1" applyFill="1"/>
    <xf numFmtId="0" fontId="5" fillId="4" borderId="0" xfId="0" applyFont="1" applyFill="1" applyAlignment="1">
      <alignment horizontal="center"/>
    </xf>
    <xf numFmtId="9" fontId="5" fillId="4" borderId="0" xfId="1" applyFont="1" applyFill="1" applyAlignment="1">
      <alignment horizontal="center"/>
    </xf>
    <xf numFmtId="9" fontId="2" fillId="4" borderId="0" xfId="1" applyFont="1" applyFill="1"/>
    <xf numFmtId="0" fontId="5" fillId="4" borderId="0" xfId="0" applyFont="1" applyFill="1" applyBorder="1"/>
    <xf numFmtId="0" fontId="5" fillId="4" borderId="1" xfId="0" applyFont="1" applyFill="1" applyBorder="1" applyAlignment="1">
      <alignment horizontal="center" vertical="center" wrapText="1"/>
    </xf>
    <xf numFmtId="9" fontId="5" fillId="4" borderId="1" xfId="1" applyFont="1" applyFill="1" applyBorder="1" applyAlignment="1">
      <alignment horizontal="center" vertical="center"/>
    </xf>
    <xf numFmtId="9" fontId="5" fillId="4" borderId="0" xfId="1" applyFont="1" applyFill="1" applyBorder="1" applyAlignment="1">
      <alignment horizontal="center" vertical="center"/>
    </xf>
    <xf numFmtId="9" fontId="5" fillId="4" borderId="0" xfId="1" applyFont="1" applyFill="1" applyBorder="1"/>
    <xf numFmtId="0" fontId="5" fillId="4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1" fillId="4" borderId="5" xfId="0" applyFont="1" applyFill="1" applyBorder="1"/>
    <xf numFmtId="0" fontId="5" fillId="4" borderId="4" xfId="0" applyFont="1" applyFill="1" applyBorder="1" applyAlignment="1">
      <alignment horizontal="center"/>
    </xf>
    <xf numFmtId="9" fontId="5" fillId="4" borderId="5" xfId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9" fontId="5" fillId="4" borderId="0" xfId="1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 wrapText="1"/>
    </xf>
    <xf numFmtId="175" fontId="16" fillId="0" borderId="0" xfId="0" applyNumberFormat="1" applyFont="1" applyFill="1" applyAlignment="1">
      <alignment horizontal="center"/>
    </xf>
    <xf numFmtId="174" fontId="0" fillId="0" borderId="0" xfId="0" applyNumberFormat="1"/>
    <xf numFmtId="174" fontId="2" fillId="0" borderId="0" xfId="0" applyNumberFormat="1" applyFont="1"/>
    <xf numFmtId="0" fontId="17" fillId="0" borderId="0" xfId="0" applyFont="1" applyAlignment="1">
      <alignment wrapText="1"/>
    </xf>
    <xf numFmtId="0" fontId="18" fillId="0" borderId="2" xfId="0" applyFont="1" applyBorder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176" fontId="6" fillId="3" borderId="0" xfId="0" applyNumberFormat="1" applyFont="1" applyFill="1" applyAlignment="1">
      <alignment horizontal="center"/>
    </xf>
    <xf numFmtId="176" fontId="6" fillId="2" borderId="0" xfId="0" applyNumberFormat="1" applyFont="1" applyFill="1" applyAlignment="1">
      <alignment horizontal="center"/>
    </xf>
    <xf numFmtId="3" fontId="6" fillId="0" borderId="0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215491"/>
      <color rgb="FF00518B"/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1701800</xdr:colOff>
          <xdr:row>18</xdr:row>
          <xdr:rowOff>0</xdr:rowOff>
        </xdr:from>
        <xdr:to>
          <xdr:col>11</xdr:col>
          <xdr:colOff>12700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0000"/>
                  </a:solidFill>
                  <a:latin typeface="Arial" pitchFamily="2" charset="0"/>
                  <a:cs typeface="Arial" pitchFamily="2" charset="0"/>
                </a:rPr>
                <a:t>Clear Spreadsheet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15</xdr:row>
          <xdr:rowOff>88900</xdr:rowOff>
        </xdr:from>
        <xdr:to>
          <xdr:col>3</xdr:col>
          <xdr:colOff>0</xdr:colOff>
          <xdr:row>17</xdr:row>
          <xdr:rowOff>38100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 pitchFamily="2" charset="0"/>
                  <a:cs typeface="Arial Black" pitchFamily="2" charset="0"/>
                </a:rPr>
                <a:t>Run Analysis for All Stocks (OG)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76200</xdr:rowOff>
        </xdr:from>
        <xdr:to>
          <xdr:col>8</xdr:col>
          <xdr:colOff>0</xdr:colOff>
          <xdr:row>17</xdr:row>
          <xdr:rowOff>12700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4D5A927F-D940-8C40-B18D-8CDA9B189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215491"/>
                  </a:solidFill>
                  <a:latin typeface="Arial Black" pitchFamily="2" charset="0"/>
                  <a:cs typeface="Arial Black" pitchFamily="2" charset="0"/>
                </a:rPr>
                <a:t>Run Analysis for All Stocks (RF)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76200</xdr:rowOff>
        </xdr:from>
        <xdr:to>
          <xdr:col>13</xdr:col>
          <xdr:colOff>12700</xdr:colOff>
          <xdr:row>17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4D5A927F-D940-8C40-B18D-8CDA9B189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7030A0"/>
                  </a:solidFill>
                  <a:latin typeface="Arial Black" pitchFamily="2" charset="0"/>
                  <a:cs typeface="Arial Black" pitchFamily="2" charset="0"/>
                </a:rPr>
                <a:t>Run Analysis for All Stocks (RF2)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4" sqref="A4"/>
    </sheetView>
  </sheetViews>
  <sheetFormatPr baseColWidth="10" defaultColWidth="8.83203125" defaultRowHeight="15" x14ac:dyDescent="0.2"/>
  <cols>
    <col min="2" max="2" width="19.33203125" customWidth="1"/>
    <col min="8" max="8" width="11.832031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K17" sqref="K17"/>
    </sheetView>
  </sheetViews>
  <sheetFormatPr baseColWidth="10" defaultColWidth="8.83203125" defaultRowHeight="15" x14ac:dyDescent="0.2"/>
  <cols>
    <col min="1" max="1" width="10.5" customWidth="1"/>
    <col min="2" max="2" width="15.1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5C770-1056-AD4B-A1BA-F0DF3CB0C679}">
  <sheetPr codeName="Sheet4"/>
  <dimension ref="A1:M15"/>
  <sheetViews>
    <sheetView tabSelected="1" workbookViewId="0">
      <selection activeCell="F26" sqref="F26"/>
    </sheetView>
  </sheetViews>
  <sheetFormatPr baseColWidth="10" defaultRowHeight="15" x14ac:dyDescent="0.2"/>
  <cols>
    <col min="1" max="1" width="10.5" style="14" customWidth="1"/>
    <col min="2" max="2" width="22.83203125" style="14" bestFit="1" customWidth="1"/>
    <col min="3" max="3" width="12.6640625" style="14" bestFit="1" customWidth="1"/>
    <col min="4" max="5" width="5.6640625" style="14" customWidth="1"/>
    <col min="6" max="6" width="10.83203125" style="14"/>
    <col min="7" max="7" width="22.83203125" style="14" bestFit="1" customWidth="1"/>
    <col min="8" max="8" width="10.83203125" style="14"/>
    <col min="9" max="10" width="5.6640625" style="14" customWidth="1"/>
    <col min="11" max="11" width="11.1640625" style="14" customWidth="1"/>
    <col min="12" max="12" width="22.83203125" style="14" bestFit="1" customWidth="1"/>
    <col min="13" max="15" width="10.83203125" style="14" customWidth="1"/>
    <col min="16" max="16" width="10.33203125" style="14" customWidth="1"/>
    <col min="17" max="16384" width="10.83203125" style="14"/>
  </cols>
  <sheetData>
    <row r="1" spans="1:13" ht="23" x14ac:dyDescent="0.25">
      <c r="A1" s="10" t="s">
        <v>524</v>
      </c>
      <c r="B1" s="11"/>
      <c r="C1" s="11"/>
      <c r="D1" s="11"/>
      <c r="E1" s="11"/>
      <c r="F1" s="12" t="s">
        <v>524</v>
      </c>
      <c r="G1" s="11"/>
      <c r="H1" s="11"/>
      <c r="I1" s="11"/>
      <c r="J1" s="11"/>
      <c r="K1" s="13" t="s">
        <v>524</v>
      </c>
      <c r="L1" s="11"/>
      <c r="M1" s="11"/>
    </row>
    <row r="2" spans="1:13" x14ac:dyDescent="0.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</row>
    <row r="3" spans="1:13" ht="20" customHeight="1" x14ac:dyDescent="0.2">
      <c r="A3" s="15" t="s">
        <v>0</v>
      </c>
      <c r="B3" s="15" t="s">
        <v>522</v>
      </c>
      <c r="C3" s="15" t="s">
        <v>523</v>
      </c>
      <c r="D3" s="11"/>
      <c r="E3" s="11"/>
      <c r="F3" s="15" t="s">
        <v>0</v>
      </c>
      <c r="G3" s="15" t="s">
        <v>522</v>
      </c>
      <c r="H3" s="15" t="s">
        <v>523</v>
      </c>
      <c r="I3" s="11"/>
      <c r="J3" s="11"/>
      <c r="K3" s="15" t="s">
        <v>0</v>
      </c>
      <c r="L3" s="15" t="s">
        <v>522</v>
      </c>
      <c r="M3" s="15" t="s">
        <v>523</v>
      </c>
    </row>
    <row r="4" spans="1:13" ht="20" customHeight="1" x14ac:dyDescent="0.2">
      <c r="A4" s="16" t="s">
        <v>8</v>
      </c>
      <c r="B4" s="56">
        <v>83079900</v>
      </c>
      <c r="C4" s="54">
        <v>-7.2847638261477596E-2</v>
      </c>
      <c r="D4" s="11"/>
      <c r="E4" s="11"/>
      <c r="F4" s="16" t="s">
        <v>8</v>
      </c>
      <c r="G4" s="56">
        <v>83079900</v>
      </c>
      <c r="H4" s="54">
        <v>-7.2847634553909302E-2</v>
      </c>
      <c r="I4" s="11"/>
      <c r="J4" s="11"/>
      <c r="K4" s="16" t="s">
        <v>8</v>
      </c>
      <c r="L4" s="56">
        <v>83079900</v>
      </c>
      <c r="M4" s="54">
        <v>-7.2847634553909302E-2</v>
      </c>
    </row>
    <row r="5" spans="1:13" ht="20" customHeight="1" x14ac:dyDescent="0.2">
      <c r="A5" s="16" t="s">
        <v>9</v>
      </c>
      <c r="B5" s="56">
        <v>200879900</v>
      </c>
      <c r="C5" s="54">
        <v>-0.16336051128124335</v>
      </c>
      <c r="D5" s="11"/>
      <c r="E5" s="11"/>
      <c r="F5" s="16" t="s">
        <v>9</v>
      </c>
      <c r="G5" s="56">
        <v>200879900</v>
      </c>
      <c r="H5" s="54">
        <v>-0.16336052119731903</v>
      </c>
      <c r="I5" s="11"/>
      <c r="J5" s="11"/>
      <c r="K5" s="16" t="s">
        <v>9</v>
      </c>
      <c r="L5" s="56">
        <v>200879900</v>
      </c>
      <c r="M5" s="54">
        <v>-0.16336052119731903</v>
      </c>
    </row>
    <row r="6" spans="1:13" ht="20" customHeight="1" x14ac:dyDescent="0.2">
      <c r="A6" s="16" t="s">
        <v>10</v>
      </c>
      <c r="B6" s="56">
        <v>107873900</v>
      </c>
      <c r="C6" s="54">
        <v>-0.62601885887805664</v>
      </c>
      <c r="D6" s="11"/>
      <c r="E6" s="11"/>
      <c r="F6" s="16" t="s">
        <v>10</v>
      </c>
      <c r="G6" s="56">
        <v>107873900</v>
      </c>
      <c r="H6" s="54">
        <v>-0.62601888179779053</v>
      </c>
      <c r="I6" s="11"/>
      <c r="J6" s="11"/>
      <c r="K6" s="16" t="s">
        <v>10</v>
      </c>
      <c r="L6" s="56">
        <v>107873900</v>
      </c>
      <c r="M6" s="54">
        <v>-0.62601888179779053</v>
      </c>
    </row>
    <row r="7" spans="1:13" ht="20" customHeight="1" x14ac:dyDescent="0.2">
      <c r="A7" s="16" t="s">
        <v>11</v>
      </c>
      <c r="B7" s="56">
        <v>607473500</v>
      </c>
      <c r="C7" s="55">
        <v>0.81923076923076932</v>
      </c>
      <c r="D7" s="11"/>
      <c r="E7" s="11"/>
      <c r="F7" s="16" t="s">
        <v>11</v>
      </c>
      <c r="G7" s="56">
        <v>607473500</v>
      </c>
      <c r="H7" s="55">
        <v>0.81923085451126099</v>
      </c>
      <c r="I7" s="11"/>
      <c r="J7" s="11"/>
      <c r="K7" s="16" t="s">
        <v>11</v>
      </c>
      <c r="L7" s="56">
        <v>607473500</v>
      </c>
      <c r="M7" s="55">
        <v>0.81923085451126099</v>
      </c>
    </row>
    <row r="8" spans="1:13" ht="20" customHeight="1" x14ac:dyDescent="0.2">
      <c r="A8" s="16" t="s">
        <v>12</v>
      </c>
      <c r="B8" s="56">
        <v>478113900</v>
      </c>
      <c r="C8" s="54">
        <v>-0.39713191821666904</v>
      </c>
      <c r="D8" s="11"/>
      <c r="E8" s="11"/>
      <c r="F8" s="16" t="s">
        <v>12</v>
      </c>
      <c r="G8" s="56">
        <v>478113900</v>
      </c>
      <c r="H8" s="54">
        <v>-0.39713191986083984</v>
      </c>
      <c r="I8" s="11"/>
      <c r="J8" s="11"/>
      <c r="K8" s="16" t="s">
        <v>12</v>
      </c>
      <c r="L8" s="56">
        <v>478113900</v>
      </c>
      <c r="M8" s="54">
        <v>-0.39713191986083984</v>
      </c>
    </row>
    <row r="9" spans="1:13" ht="20" customHeight="1" x14ac:dyDescent="0.2">
      <c r="A9" s="16" t="s">
        <v>13</v>
      </c>
      <c r="B9" s="56">
        <v>104340600</v>
      </c>
      <c r="C9" s="54">
        <v>-0.2065806330695544</v>
      </c>
      <c r="D9" s="11"/>
      <c r="E9" s="11"/>
      <c r="F9" s="16" t="s">
        <v>13</v>
      </c>
      <c r="G9" s="56">
        <v>104340600</v>
      </c>
      <c r="H9" s="54">
        <v>-0.20658062398433685</v>
      </c>
      <c r="I9" s="11"/>
      <c r="J9" s="11"/>
      <c r="K9" s="16" t="s">
        <v>13</v>
      </c>
      <c r="L9" s="56">
        <v>104340600</v>
      </c>
      <c r="M9" s="54">
        <v>-0.20658062398433685</v>
      </c>
    </row>
    <row r="10" spans="1:13" ht="20" customHeight="1" x14ac:dyDescent="0.2">
      <c r="A10" s="16" t="s">
        <v>14</v>
      </c>
      <c r="B10" s="56">
        <v>158309000</v>
      </c>
      <c r="C10" s="54">
        <v>-0.60534715105136272</v>
      </c>
      <c r="D10" s="11"/>
      <c r="E10" s="11"/>
      <c r="F10" s="16" t="s">
        <v>14</v>
      </c>
      <c r="G10" s="56">
        <v>158309000</v>
      </c>
      <c r="H10" s="54">
        <v>-0.6053471565246582</v>
      </c>
      <c r="I10" s="11"/>
      <c r="J10" s="11"/>
      <c r="K10" s="16" t="s">
        <v>14</v>
      </c>
      <c r="L10" s="56">
        <v>158309000</v>
      </c>
      <c r="M10" s="54">
        <v>-0.6053471565246582</v>
      </c>
    </row>
    <row r="11" spans="1:13" ht="20" customHeight="1" x14ac:dyDescent="0.2">
      <c r="A11" s="16" t="s">
        <v>15</v>
      </c>
      <c r="B11" s="56">
        <v>502757100</v>
      </c>
      <c r="C11" s="55">
        <v>0.8395270270270272</v>
      </c>
      <c r="D11" s="11"/>
      <c r="E11" s="11"/>
      <c r="F11" s="16" t="s">
        <v>15</v>
      </c>
      <c r="G11" s="56">
        <v>502757100</v>
      </c>
      <c r="H11" s="55">
        <v>0.83952707052230835</v>
      </c>
      <c r="I11" s="11"/>
      <c r="J11" s="11"/>
      <c r="K11" s="16" t="s">
        <v>15</v>
      </c>
      <c r="L11" s="56">
        <v>502757100</v>
      </c>
      <c r="M11" s="55">
        <v>0.83952707052230835</v>
      </c>
    </row>
    <row r="12" spans="1:13" ht="20" customHeight="1" x14ac:dyDescent="0.2">
      <c r="A12" s="16" t="s">
        <v>16</v>
      </c>
      <c r="B12" s="56">
        <v>237212300</v>
      </c>
      <c r="C12" s="54">
        <v>-7.7529594678832983E-2</v>
      </c>
      <c r="D12" s="11"/>
      <c r="E12" s="11"/>
      <c r="F12" s="16" t="s">
        <v>16</v>
      </c>
      <c r="G12" s="56">
        <v>237212300</v>
      </c>
      <c r="H12" s="54">
        <v>-7.7529586851596832E-2</v>
      </c>
      <c r="I12" s="11"/>
      <c r="J12" s="11"/>
      <c r="K12" s="16" t="s">
        <v>16</v>
      </c>
      <c r="L12" s="56">
        <v>237212300</v>
      </c>
      <c r="M12" s="54">
        <v>-7.7529586851596832E-2</v>
      </c>
    </row>
    <row r="13" spans="1:13" ht="20" customHeight="1" x14ac:dyDescent="0.2">
      <c r="A13" s="16" t="s">
        <v>17</v>
      </c>
      <c r="B13" s="56">
        <v>538024300</v>
      </c>
      <c r="C13" s="54">
        <v>-0.44593088071348946</v>
      </c>
      <c r="D13" s="11"/>
      <c r="E13" s="11"/>
      <c r="F13" s="16" t="s">
        <v>17</v>
      </c>
      <c r="G13" s="56">
        <v>538024300</v>
      </c>
      <c r="H13" s="54">
        <v>-0.44593092799186707</v>
      </c>
      <c r="I13" s="11"/>
      <c r="J13" s="11"/>
      <c r="K13" s="16" t="s">
        <v>17</v>
      </c>
      <c r="L13" s="56">
        <v>538024300</v>
      </c>
      <c r="M13" s="54">
        <v>-0.44593092799186707</v>
      </c>
    </row>
    <row r="14" spans="1:13" ht="20" customHeight="1" x14ac:dyDescent="0.2">
      <c r="A14" s="16" t="s">
        <v>18</v>
      </c>
      <c r="B14" s="56">
        <v>151434700</v>
      </c>
      <c r="C14" s="54">
        <v>-4.9957662997459767E-2</v>
      </c>
      <c r="D14" s="11"/>
      <c r="E14" s="11"/>
      <c r="F14" s="16" t="s">
        <v>18</v>
      </c>
      <c r="G14" s="56">
        <v>151434700</v>
      </c>
      <c r="H14" s="54">
        <v>-4.9957673996686935E-2</v>
      </c>
      <c r="I14" s="11"/>
      <c r="J14" s="11"/>
      <c r="K14" s="16" t="s">
        <v>18</v>
      </c>
      <c r="L14" s="56">
        <v>151434700</v>
      </c>
      <c r="M14" s="54">
        <v>-4.9957673996686935E-2</v>
      </c>
    </row>
    <row r="15" spans="1:13" ht="20" customHeight="1" x14ac:dyDescent="0.2">
      <c r="A15" s="16" t="s">
        <v>19</v>
      </c>
      <c r="B15" s="56">
        <v>136539100</v>
      </c>
      <c r="C15" s="54">
        <v>-3.5443037974683574E-2</v>
      </c>
      <c r="D15" s="11"/>
      <c r="E15" s="11"/>
      <c r="F15" s="16" t="s">
        <v>19</v>
      </c>
      <c r="G15" s="56">
        <v>136539100</v>
      </c>
      <c r="H15" s="54">
        <v>-3.5443063825368881E-2</v>
      </c>
      <c r="I15" s="11"/>
      <c r="J15" s="11"/>
      <c r="K15" s="16" t="s">
        <v>19</v>
      </c>
      <c r="L15" s="56">
        <v>136539100</v>
      </c>
      <c r="M15" s="54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SkillDrill6">
                <anchor moveWithCells="1" sizeWithCells="1">
                  <from>
                    <xdr:col>1</xdr:col>
                    <xdr:colOff>1701800</xdr:colOff>
                    <xdr:row>18</xdr:row>
                    <xdr:rowOff>0</xdr:rowOff>
                  </from>
                  <to>
                    <xdr:col>11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AllStocksAnalysis">
                <anchor moveWithCells="1">
                  <from>
                    <xdr:col>0</xdr:col>
                    <xdr:colOff>50800</xdr:colOff>
                    <xdr:row>15</xdr:row>
                    <xdr:rowOff>88900</xdr:rowOff>
                  </from>
                  <to>
                    <xdr:col>3</xdr:col>
                    <xdr:colOff>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AllStocksAnalysisRefactored.AllStocksAnalysisRefactored">
                <anchor moveWithCells="1">
                  <from>
                    <xdr:col>5</xdr:col>
                    <xdr:colOff>12700</xdr:colOff>
                    <xdr:row>15</xdr:row>
                    <xdr:rowOff>76200</xdr:rowOff>
                  </from>
                  <to>
                    <xdr:col>8</xdr:col>
                    <xdr:colOff>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AllStocksAnalysisNextStep">
                <anchor moveWithCells="1">
                  <from>
                    <xdr:col>10</xdr:col>
                    <xdr:colOff>0</xdr:colOff>
                    <xdr:row>15</xdr:row>
                    <xdr:rowOff>76200</xdr:rowOff>
                  </from>
                  <to>
                    <xdr:col>13</xdr:col>
                    <xdr:colOff>12700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B1D40-29F1-F046-A50C-712ECE3EF216}">
  <sheetPr codeName="Sheet5"/>
  <dimension ref="A1:L36"/>
  <sheetViews>
    <sheetView workbookViewId="0">
      <selection activeCell="C21" sqref="C21"/>
    </sheetView>
  </sheetViews>
  <sheetFormatPr baseColWidth="10" defaultColWidth="11.1640625" defaultRowHeight="15" x14ac:dyDescent="0.2"/>
  <cols>
    <col min="2" max="2" width="13.6640625" customWidth="1"/>
    <col min="3" max="3" width="17.83203125" customWidth="1"/>
    <col min="4" max="4" width="12.33203125" customWidth="1"/>
    <col min="5" max="5" width="3" customWidth="1"/>
    <col min="6" max="6" width="17.1640625" customWidth="1"/>
    <col min="7" max="7" width="13.33203125" customWidth="1"/>
    <col min="9" max="9" width="0.83203125" customWidth="1"/>
    <col min="10" max="10" width="15.1640625" bestFit="1" customWidth="1"/>
    <col min="11" max="11" width="1.1640625" customWidth="1"/>
    <col min="12" max="12" width="14.6640625" customWidth="1"/>
  </cols>
  <sheetData>
    <row r="1" spans="2:12" ht="25" x14ac:dyDescent="0.25">
      <c r="B1" s="3" t="s">
        <v>525</v>
      </c>
      <c r="C1" s="2"/>
      <c r="D1" s="2"/>
      <c r="F1" s="3" t="s">
        <v>524</v>
      </c>
      <c r="G1" s="2"/>
      <c r="H1" s="2"/>
    </row>
    <row r="2" spans="2:12" x14ac:dyDescent="0.2">
      <c r="B2" s="2"/>
      <c r="C2" s="2"/>
      <c r="D2" s="2"/>
      <c r="F2" s="2"/>
      <c r="G2" s="2"/>
      <c r="H2" s="2"/>
    </row>
    <row r="3" spans="2:12" s="51" customFormat="1" ht="29" x14ac:dyDescent="0.2">
      <c r="B3" s="52" t="s">
        <v>0</v>
      </c>
      <c r="C3" s="52" t="s">
        <v>522</v>
      </c>
      <c r="D3" s="52" t="s">
        <v>523</v>
      </c>
      <c r="F3" s="52" t="s">
        <v>0</v>
      </c>
      <c r="G3" s="52" t="s">
        <v>522</v>
      </c>
      <c r="H3" s="52" t="s">
        <v>523</v>
      </c>
      <c r="J3" s="53" t="s">
        <v>526</v>
      </c>
      <c r="L3" s="53" t="s">
        <v>535</v>
      </c>
    </row>
    <row r="4" spans="2:12" x14ac:dyDescent="0.2">
      <c r="B4" s="4" t="s">
        <v>8</v>
      </c>
      <c r="C4" s="7">
        <v>136070900</v>
      </c>
      <c r="D4" s="5">
        <v>8.9368253946304321E-2</v>
      </c>
      <c r="F4" s="4" t="s">
        <v>8</v>
      </c>
      <c r="G4" s="7">
        <v>83079900</v>
      </c>
      <c r="H4" s="6">
        <v>-7.2847634553909302E-2</v>
      </c>
      <c r="J4" s="8">
        <f>G4-C4</f>
        <v>-52991000</v>
      </c>
      <c r="L4" s="9">
        <f>H4-D4</f>
        <v>-0.16221588850021362</v>
      </c>
    </row>
    <row r="5" spans="2:12" x14ac:dyDescent="0.2">
      <c r="B5" s="4" t="s">
        <v>9</v>
      </c>
      <c r="C5" s="7">
        <v>310592800</v>
      </c>
      <c r="D5" s="5">
        <v>0.33070248365402222</v>
      </c>
      <c r="F5" s="4" t="s">
        <v>9</v>
      </c>
      <c r="G5" s="7">
        <v>200879900</v>
      </c>
      <c r="H5" s="6">
        <v>-0.16336052119731903</v>
      </c>
      <c r="J5" s="8">
        <f t="shared" ref="J5:J15" si="0">G5-C5</f>
        <v>-109712900</v>
      </c>
      <c r="L5" s="9">
        <f t="shared" ref="L5:L15" si="1">H5-D5</f>
        <v>-0.49406300485134125</v>
      </c>
    </row>
    <row r="6" spans="2:12" x14ac:dyDescent="0.2">
      <c r="B6" s="4" t="s">
        <v>10</v>
      </c>
      <c r="C6" s="7">
        <v>35796200</v>
      </c>
      <c r="D6" s="5">
        <v>1.9944583177566528</v>
      </c>
      <c r="F6" s="4" t="s">
        <v>10</v>
      </c>
      <c r="G6" s="7">
        <v>107873900</v>
      </c>
      <c r="H6" s="6">
        <v>-0.62601888179779053</v>
      </c>
      <c r="J6" s="8">
        <f t="shared" si="0"/>
        <v>72077700</v>
      </c>
      <c r="L6" s="9">
        <f t="shared" si="1"/>
        <v>-2.6204771995544434</v>
      </c>
    </row>
    <row r="7" spans="2:12" x14ac:dyDescent="0.2">
      <c r="B7" s="4" t="s">
        <v>11</v>
      </c>
      <c r="C7" s="7">
        <v>221772100</v>
      </c>
      <c r="D7" s="5">
        <v>1.2952382564544678</v>
      </c>
      <c r="F7" s="4" t="s">
        <v>11</v>
      </c>
      <c r="G7" s="7">
        <v>607473500</v>
      </c>
      <c r="H7" s="5">
        <v>0.81923085451126099</v>
      </c>
      <c r="J7" s="8">
        <f t="shared" si="0"/>
        <v>385701400</v>
      </c>
      <c r="L7" s="9">
        <f t="shared" si="1"/>
        <v>-0.47600740194320679</v>
      </c>
    </row>
    <row r="8" spans="2:12" x14ac:dyDescent="0.2">
      <c r="B8" s="4" t="s">
        <v>12</v>
      </c>
      <c r="C8" s="7">
        <v>684181400</v>
      </c>
      <c r="D8" s="5">
        <v>1.0131185054779053</v>
      </c>
      <c r="F8" s="4" t="s">
        <v>12</v>
      </c>
      <c r="G8" s="7">
        <v>478113900</v>
      </c>
      <c r="H8" s="6">
        <v>-0.39713191986083984</v>
      </c>
      <c r="J8" s="8">
        <f t="shared" si="0"/>
        <v>-206067500</v>
      </c>
      <c r="L8" s="9">
        <f t="shared" si="1"/>
        <v>-1.4102504253387451</v>
      </c>
    </row>
    <row r="9" spans="2:12" x14ac:dyDescent="0.2">
      <c r="B9" s="4" t="s">
        <v>13</v>
      </c>
      <c r="C9" s="7">
        <v>80949300</v>
      </c>
      <c r="D9" s="5">
        <v>0.2583681046962738</v>
      </c>
      <c r="F9" s="4" t="s">
        <v>13</v>
      </c>
      <c r="G9" s="7">
        <v>104340600</v>
      </c>
      <c r="H9" s="6">
        <v>-0.20658062398433685</v>
      </c>
      <c r="J9" s="8">
        <f t="shared" si="0"/>
        <v>23391300</v>
      </c>
      <c r="L9" s="9">
        <f t="shared" si="1"/>
        <v>-0.46494872868061066</v>
      </c>
    </row>
    <row r="10" spans="2:12" x14ac:dyDescent="0.2">
      <c r="B10" s="4" t="s">
        <v>14</v>
      </c>
      <c r="C10" s="7">
        <v>191632200</v>
      </c>
      <c r="D10" s="5">
        <v>0.53870755434036255</v>
      </c>
      <c r="F10" s="4" t="s">
        <v>14</v>
      </c>
      <c r="G10" s="7">
        <v>158309000</v>
      </c>
      <c r="H10" s="6">
        <v>-0.6053471565246582</v>
      </c>
      <c r="J10" s="8">
        <f t="shared" si="0"/>
        <v>-33323200</v>
      </c>
      <c r="L10" s="9">
        <f t="shared" si="1"/>
        <v>-1.1440547108650208</v>
      </c>
    </row>
    <row r="11" spans="2:12" x14ac:dyDescent="0.2">
      <c r="B11" s="4" t="s">
        <v>15</v>
      </c>
      <c r="C11" s="7">
        <v>267681300</v>
      </c>
      <c r="D11" s="5">
        <v>5.5456161499023438E-2</v>
      </c>
      <c r="F11" s="4" t="s">
        <v>15</v>
      </c>
      <c r="G11" s="7">
        <v>502757100</v>
      </c>
      <c r="H11" s="5">
        <v>0.83952707052230835</v>
      </c>
      <c r="J11" s="8">
        <f t="shared" si="0"/>
        <v>235075800</v>
      </c>
      <c r="L11" s="9">
        <f t="shared" si="1"/>
        <v>0.78407090902328491</v>
      </c>
    </row>
    <row r="12" spans="2:12" x14ac:dyDescent="0.2">
      <c r="B12" s="4" t="s">
        <v>16</v>
      </c>
      <c r="C12" s="7">
        <v>206885200</v>
      </c>
      <c r="D12" s="5">
        <v>1.8446969985961914</v>
      </c>
      <c r="F12" s="4" t="s">
        <v>16</v>
      </c>
      <c r="G12" s="7">
        <v>237212300</v>
      </c>
      <c r="H12" s="6">
        <v>-7.7529586851596832E-2</v>
      </c>
      <c r="J12" s="8">
        <f t="shared" si="0"/>
        <v>30327100</v>
      </c>
      <c r="L12" s="9">
        <f t="shared" si="1"/>
        <v>-1.9222265854477882</v>
      </c>
    </row>
    <row r="13" spans="2:12" x14ac:dyDescent="0.2">
      <c r="B13" s="4" t="s">
        <v>17</v>
      </c>
      <c r="C13" s="7">
        <v>782187000</v>
      </c>
      <c r="D13" s="5">
        <v>0.23065699636936188</v>
      </c>
      <c r="F13" s="4" t="s">
        <v>17</v>
      </c>
      <c r="G13" s="7">
        <v>538024300</v>
      </c>
      <c r="H13" s="6">
        <v>-0.44593092799186707</v>
      </c>
      <c r="J13" s="8">
        <f t="shared" si="0"/>
        <v>-244162700</v>
      </c>
      <c r="L13" s="9">
        <f t="shared" si="1"/>
        <v>-0.67658792436122894</v>
      </c>
    </row>
    <row r="14" spans="2:12" x14ac:dyDescent="0.2">
      <c r="B14" s="4" t="s">
        <v>18</v>
      </c>
      <c r="C14" s="7">
        <v>139402800</v>
      </c>
      <c r="D14" s="6">
        <v>-7.2148971259593964E-2</v>
      </c>
      <c r="F14" s="4" t="s">
        <v>18</v>
      </c>
      <c r="G14" s="7">
        <v>151434700</v>
      </c>
      <c r="H14" s="6">
        <v>-4.9957673996686935E-2</v>
      </c>
      <c r="J14" s="8">
        <f t="shared" si="0"/>
        <v>12031900</v>
      </c>
      <c r="L14" s="9">
        <f t="shared" si="1"/>
        <v>2.2191297262907028E-2</v>
      </c>
    </row>
    <row r="15" spans="2:12" x14ac:dyDescent="0.2">
      <c r="B15" s="4" t="s">
        <v>19</v>
      </c>
      <c r="C15" s="7">
        <v>109487900</v>
      </c>
      <c r="D15" s="5">
        <v>0.50000005960464478</v>
      </c>
      <c r="F15" s="4" t="s">
        <v>19</v>
      </c>
      <c r="G15" s="7">
        <v>136539100</v>
      </c>
      <c r="H15" s="6">
        <v>-3.5443063825368881E-2</v>
      </c>
      <c r="J15" s="8">
        <f t="shared" si="0"/>
        <v>27051200</v>
      </c>
      <c r="L15" s="9">
        <f t="shared" si="1"/>
        <v>-0.53544312343001366</v>
      </c>
    </row>
    <row r="16" spans="2:12" x14ac:dyDescent="0.2">
      <c r="C16" s="8">
        <f>SUM(C4:C15)</f>
        <v>3166639100</v>
      </c>
      <c r="G16" s="8">
        <f>SUM(G4:G15)</f>
        <v>3306038200</v>
      </c>
      <c r="J16" s="8">
        <f>SUM(J4:J15)</f>
        <v>139399100</v>
      </c>
    </row>
    <row r="17" spans="1:11" x14ac:dyDescent="0.2">
      <c r="A17" s="14"/>
      <c r="B17" s="14"/>
      <c r="C17" s="14"/>
      <c r="D17" s="14"/>
      <c r="E17" s="14"/>
      <c r="F17" s="14"/>
      <c r="G17" s="14"/>
      <c r="H17" s="14"/>
      <c r="I17" s="14"/>
    </row>
    <row r="18" spans="1:11" x14ac:dyDescent="0.2">
      <c r="A18" s="14"/>
      <c r="B18" s="14"/>
      <c r="C18" s="14"/>
      <c r="D18" s="14"/>
      <c r="E18" s="14"/>
      <c r="F18" s="14"/>
      <c r="G18" s="14"/>
      <c r="H18" s="14"/>
      <c r="I18" s="14"/>
    </row>
    <row r="19" spans="1:11" ht="16" x14ac:dyDescent="0.2">
      <c r="A19" s="14"/>
      <c r="B19" s="40" t="s">
        <v>527</v>
      </c>
      <c r="C19" s="41" t="s">
        <v>529</v>
      </c>
      <c r="D19" s="41" t="s">
        <v>531</v>
      </c>
      <c r="E19" s="42"/>
      <c r="F19" s="41" t="s">
        <v>530</v>
      </c>
      <c r="G19" s="43" t="s">
        <v>532</v>
      </c>
      <c r="H19" s="14"/>
      <c r="I19" s="14"/>
    </row>
    <row r="20" spans="1:11" ht="18" customHeight="1" x14ac:dyDescent="0.2">
      <c r="A20" s="14"/>
      <c r="B20" s="19">
        <v>1</v>
      </c>
      <c r="C20" s="17">
        <v>1.371094</v>
      </c>
      <c r="D20" s="23">
        <v>0.2890625</v>
      </c>
      <c r="E20" s="20"/>
      <c r="F20" s="23">
        <v>1.7109380000000001</v>
      </c>
      <c r="G20" s="23">
        <v>0.32421879999999997</v>
      </c>
      <c r="H20" s="14"/>
      <c r="I20" s="14"/>
      <c r="J20" s="49"/>
    </row>
    <row r="21" spans="1:11" ht="18" customHeight="1" x14ac:dyDescent="0.2">
      <c r="A21" s="14"/>
      <c r="B21" s="19">
        <v>2</v>
      </c>
      <c r="C21" s="22">
        <v>1.47129</v>
      </c>
      <c r="D21" s="23">
        <v>0.3046875</v>
      </c>
      <c r="E21" s="20"/>
      <c r="F21" s="23">
        <v>1.687513</v>
      </c>
      <c r="G21" s="23">
        <v>0.328125</v>
      </c>
      <c r="H21" s="14"/>
      <c r="I21" s="14"/>
      <c r="J21" s="49"/>
    </row>
    <row r="22" spans="1:11" ht="18" customHeight="1" x14ac:dyDescent="0.2">
      <c r="A22" s="14"/>
      <c r="B22" s="19">
        <v>3</v>
      </c>
      <c r="C22" s="23">
        <v>1.4296880000000001</v>
      </c>
      <c r="D22" s="23">
        <v>0.29296879999999997</v>
      </c>
      <c r="E22" s="20"/>
      <c r="F22" s="23">
        <v>1.738281</v>
      </c>
      <c r="G22" s="23">
        <v>0.328125</v>
      </c>
      <c r="H22" s="14"/>
      <c r="I22" s="14"/>
      <c r="J22" s="49"/>
    </row>
    <row r="23" spans="1:11" ht="18" customHeight="1" x14ac:dyDescent="0.2">
      <c r="A23" s="14"/>
      <c r="B23" s="19">
        <v>4</v>
      </c>
      <c r="C23" s="22">
        <v>1.457031</v>
      </c>
      <c r="D23" s="23">
        <v>0.29296879999999997</v>
      </c>
      <c r="E23" s="20"/>
      <c r="F23" s="23">
        <v>1.777344</v>
      </c>
      <c r="G23" s="23">
        <v>0.33203120000000003</v>
      </c>
      <c r="H23" s="14"/>
      <c r="I23" s="14"/>
      <c r="J23" s="49"/>
    </row>
    <row r="24" spans="1:11" ht="18" customHeight="1" x14ac:dyDescent="0.2">
      <c r="A24" s="14"/>
      <c r="B24" s="19">
        <v>5</v>
      </c>
      <c r="C24" s="23">
        <v>1.417969</v>
      </c>
      <c r="D24" s="23">
        <v>0.30859379999999997</v>
      </c>
      <c r="E24" s="20"/>
      <c r="F24" s="23">
        <v>1.722656</v>
      </c>
      <c r="G24" s="23">
        <v>0.33203120000000003</v>
      </c>
      <c r="H24" s="14"/>
      <c r="I24" s="14"/>
      <c r="J24" s="49"/>
    </row>
    <row r="25" spans="1:11" ht="18" customHeight="1" x14ac:dyDescent="0.2">
      <c r="A25" s="14"/>
      <c r="B25" s="19">
        <v>6</v>
      </c>
      <c r="C25" s="23">
        <v>1.410156</v>
      </c>
      <c r="D25" s="23">
        <v>0.296875</v>
      </c>
      <c r="E25" s="20"/>
      <c r="F25" s="23">
        <v>1.703125</v>
      </c>
      <c r="G25" s="23">
        <v>0.34765620000000003</v>
      </c>
      <c r="H25" s="14"/>
      <c r="I25" s="14"/>
      <c r="J25" s="49"/>
    </row>
    <row r="26" spans="1:11" ht="18" customHeight="1" x14ac:dyDescent="0.2">
      <c r="A26" s="14"/>
      <c r="B26" s="19">
        <v>7</v>
      </c>
      <c r="C26" s="23">
        <v>1.453125</v>
      </c>
      <c r="D26" s="23">
        <v>0.29296879999999997</v>
      </c>
      <c r="E26" s="20"/>
      <c r="F26" s="23">
        <v>1.7265619999999999</v>
      </c>
      <c r="G26" s="23">
        <v>0.33203120000000003</v>
      </c>
      <c r="H26" s="14"/>
      <c r="I26" s="14"/>
      <c r="J26" s="49"/>
    </row>
    <row r="27" spans="1:11" ht="18" customHeight="1" x14ac:dyDescent="0.2">
      <c r="A27" s="14"/>
      <c r="B27" s="19">
        <v>8</v>
      </c>
      <c r="C27" s="23">
        <v>1.449219</v>
      </c>
      <c r="D27" s="23">
        <v>0.296875</v>
      </c>
      <c r="E27" s="20"/>
      <c r="F27" s="23">
        <v>1.7265619999999999</v>
      </c>
      <c r="G27" s="23">
        <v>0.3359375</v>
      </c>
      <c r="H27" s="14"/>
      <c r="I27" s="14"/>
      <c r="J27" s="49"/>
    </row>
    <row r="28" spans="1:11" ht="18" customHeight="1" x14ac:dyDescent="0.2">
      <c r="A28" s="14"/>
      <c r="B28" s="19">
        <v>9</v>
      </c>
      <c r="C28" s="23">
        <v>1.453125</v>
      </c>
      <c r="D28" s="23">
        <v>0.30859379999999997</v>
      </c>
      <c r="E28" s="20"/>
      <c r="F28" s="23">
        <v>1.769531</v>
      </c>
      <c r="G28" s="23">
        <v>0.33203120000000003</v>
      </c>
      <c r="H28" s="14"/>
      <c r="I28" s="14"/>
      <c r="J28" s="49"/>
    </row>
    <row r="29" spans="1:11" ht="18" customHeight="1" x14ac:dyDescent="0.2">
      <c r="A29" s="14"/>
      <c r="B29" s="19">
        <v>10</v>
      </c>
      <c r="C29" s="23">
        <v>1.4453119999999999</v>
      </c>
      <c r="D29" s="23">
        <v>0.30859379999999997</v>
      </c>
      <c r="E29" s="20"/>
      <c r="F29" s="23">
        <v>1.738281</v>
      </c>
      <c r="G29" s="48">
        <v>0.34375</v>
      </c>
      <c r="H29" s="14"/>
      <c r="I29" s="14"/>
      <c r="J29" s="49"/>
    </row>
    <row r="30" spans="1:11" s="18" customFormat="1" ht="16" x14ac:dyDescent="0.2">
      <c r="A30" s="31"/>
      <c r="B30" s="40" t="s">
        <v>528</v>
      </c>
      <c r="C30" s="41">
        <f>AVERAGE(C20:C29)</f>
        <v>1.4358008999999998</v>
      </c>
      <c r="D30" s="41">
        <f>AVERAGE(D20:D29)</f>
        <v>0.29921878000000002</v>
      </c>
      <c r="E30" s="44"/>
      <c r="F30" s="41">
        <f>AVERAGE(F20:F29)</f>
        <v>1.7300792999999999</v>
      </c>
      <c r="G30" s="43">
        <f>AVERAGE(G20:G29)</f>
        <v>0.33359372999999998</v>
      </c>
      <c r="H30" s="34"/>
      <c r="I30" s="31"/>
      <c r="J30" s="50"/>
      <c r="K30" s="50"/>
    </row>
    <row r="31" spans="1:11" s="18" customFormat="1" ht="16" x14ac:dyDescent="0.2">
      <c r="A31" s="31"/>
      <c r="B31" s="32"/>
      <c r="C31" s="32"/>
      <c r="D31" s="32"/>
      <c r="E31" s="33"/>
      <c r="F31" s="32"/>
      <c r="G31" s="32"/>
      <c r="H31" s="34"/>
      <c r="I31" s="31"/>
    </row>
    <row r="32" spans="1:11" s="26" customFormat="1" ht="68" x14ac:dyDescent="0.2">
      <c r="A32" s="35"/>
      <c r="B32" s="35"/>
      <c r="C32" s="36" t="s">
        <v>533</v>
      </c>
      <c r="D32" s="37">
        <f>C30/D30-1</f>
        <v>3.7984986102810785</v>
      </c>
      <c r="E32" s="38"/>
      <c r="F32" s="36" t="s">
        <v>534</v>
      </c>
      <c r="G32" s="37">
        <f>F30/G30-1</f>
        <v>4.1861865029657483</v>
      </c>
      <c r="H32" s="39"/>
      <c r="I32" s="35"/>
    </row>
    <row r="33" spans="1:9" s="26" customFormat="1" ht="37" customHeight="1" x14ac:dyDescent="0.2">
      <c r="A33" s="35"/>
      <c r="B33" s="35"/>
      <c r="C33" s="35"/>
      <c r="D33" s="45"/>
      <c r="E33" s="46"/>
      <c r="F33" s="45"/>
      <c r="G33" s="45"/>
      <c r="H33" s="39"/>
      <c r="I33" s="35"/>
    </row>
    <row r="34" spans="1:9" s="26" customFormat="1" ht="16" x14ac:dyDescent="0.2">
      <c r="A34" s="35"/>
      <c r="B34" s="47"/>
      <c r="C34" s="46"/>
      <c r="D34" s="45"/>
      <c r="E34" s="46"/>
      <c r="F34" s="45"/>
      <c r="G34" s="45"/>
      <c r="H34" s="39"/>
      <c r="I34" s="35"/>
    </row>
    <row r="35" spans="1:9" s="26" customFormat="1" ht="16" x14ac:dyDescent="0.2">
      <c r="B35" s="27"/>
      <c r="C35" s="29">
        <f>F30/C30-1</f>
        <v>0.20495766509130897</v>
      </c>
      <c r="D35" s="30"/>
      <c r="E35" s="25"/>
      <c r="F35" s="29">
        <f>G30/D30-1</f>
        <v>0.11488232790735919</v>
      </c>
      <c r="G35" s="30"/>
      <c r="H35" s="28"/>
    </row>
    <row r="36" spans="1:9" x14ac:dyDescent="0.2">
      <c r="B36" s="21"/>
      <c r="C36" s="21"/>
      <c r="D36" s="21"/>
      <c r="E36" s="24"/>
      <c r="F36" s="21"/>
      <c r="G36" s="21"/>
      <c r="H36" s="21"/>
    </row>
  </sheetData>
  <mergeCells count="2">
    <mergeCell ref="C35:D35"/>
    <mergeCell ref="F35:G3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Stock Output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Maggie McPhail</cp:lastModifiedBy>
  <dcterms:created xsi:type="dcterms:W3CDTF">2019-05-02T20:23:55Z</dcterms:created>
  <dcterms:modified xsi:type="dcterms:W3CDTF">2020-10-02T22:35:34Z</dcterms:modified>
</cp:coreProperties>
</file>